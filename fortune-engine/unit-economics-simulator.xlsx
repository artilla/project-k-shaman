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시뮬레이터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0.000000"/>
    <numFmt numFmtId="165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sz val="16"/>
    </font>
    <font>
      <name val="DejaVu Sans"/>
      <charset val="1"/>
      <family val="2"/>
      <b val="1"/>
      <sz val="16"/>
    </font>
    <font>
      <name val="DejaVu Sans"/>
      <family val="2"/>
      <color theme="1"/>
      <sz val="11"/>
    </font>
    <font>
      <name val="DejaVu Sans"/>
      <charset val="1"/>
      <family val="2"/>
      <color theme="1"/>
      <sz val="11"/>
    </font>
    <font>
      <name val="Cambria"/>
      <charset val="1"/>
      <family val="0"/>
      <b val="1"/>
      <sz val="11"/>
    </font>
    <font>
      <name val="DejaVu Sans"/>
      <family val="2"/>
      <b val="1"/>
      <sz val="11"/>
    </font>
    <font>
      <name val="Cambria"/>
      <charset val="1"/>
      <family val="0"/>
      <b val="1"/>
      <color rgb="FF1F4E79"/>
      <sz val="11"/>
    </font>
    <font>
      <name val="DejaVu Sans"/>
      <family val="2"/>
      <b val="1"/>
      <color rgb="FF1F4E79"/>
      <sz val="11"/>
    </font>
    <font>
      <name val="DejaVu Sans"/>
      <charset val="1"/>
      <family val="2"/>
      <b val="1"/>
      <color rgb="FF1F4E79"/>
      <sz val="11"/>
    </font>
    <font>
      <name val="DejaVu Sans"/>
      <charset val="1"/>
      <family val="2"/>
      <b val="1"/>
      <sz val="11"/>
    </font>
    <font>
      <name val="Arial"/>
      <family val="2"/>
      <sz val="10"/>
    </font>
    <font>
      <name val="DejaVu Sans"/>
      <family val="2"/>
      <sz val="10"/>
    </font>
  </fonts>
  <fills count="5">
    <fill>
      <patternFill/>
    </fill>
    <fill>
      <patternFill patternType="gray125"/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3" fontId="0" fillId="3" borderId="1" applyAlignment="1" pivotButton="0" quotePrefix="0" xfId="0">
      <alignment horizontal="general" vertical="top" wrapText="1"/>
    </xf>
    <xf numFmtId="164" fontId="0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65" fontId="0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3" fontId="0" fillId="3" borderId="1" applyAlignment="1" pivotButton="0" quotePrefix="0" xfId="0">
      <alignment horizontal="general" vertical="top" wrapText="1"/>
    </xf>
    <xf numFmtId="164" fontId="0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65" fontId="0" fillId="3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1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오늘신당</author>
  </authors>
  <commentList>
    <comment ref="B7" authorId="0" shapeId="0">
      <text>
        <t>v1.1 잠정치(o200k 프록시): narration 제거 + scores_line. 이전 580(v1.0). Gemini count_tokens 재측정 TBD.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21" min="1" max="1"/>
    <col width="18" customWidth="1" style="21" min="2" max="7"/>
  </cols>
  <sheetData>
    <row r="1" ht="19.5" customHeight="1" s="22">
      <c r="A1" s="23" t="inlineStr">
        <is>
          <t>오늘신당 단위 경제 시뮬레이터 v1.1</t>
        </is>
      </c>
      <c r="B1" s="24" t="n"/>
      <c r="C1" s="24" t="n"/>
      <c r="D1" s="24" t="n"/>
      <c r="E1" s="24" t="n"/>
      <c r="F1" s="24" t="n"/>
      <c r="G1" s="25" t="n"/>
    </row>
    <row r="2" ht="15" customHeight="1" s="22">
      <c r="A2" s="26" t="inlineStr">
        <is>
          <t>파란 글씨=입력(수정 가능), 검정=수식. 노란 셀=핵심 가정. 기본값=token-optimization-report v1 + tts-ab-results-report v1 기준(context cache ON, v1.1 scores_line 반영: 출력 278tok·o200k 프록시 잠정).</t>
        </is>
      </c>
      <c r="B2" s="24" t="n"/>
      <c r="C2" s="24" t="n"/>
      <c r="D2" s="24" t="n"/>
      <c r="E2" s="24" t="n"/>
      <c r="F2" s="24" t="n"/>
      <c r="G2" s="25" t="n"/>
    </row>
    <row r="3" ht="15" customHeight="1" s="22">
      <c r="A3" s="27" t="n"/>
      <c r="B3" s="27" t="n"/>
      <c r="C3" s="27" t="n"/>
      <c r="D3" s="27" t="n"/>
      <c r="E3" s="27" t="n"/>
      <c r="F3" s="27" t="n"/>
      <c r="G3" s="27" t="n"/>
    </row>
    <row r="4" ht="15" customHeight="1" s="22">
      <c r="A4" s="28" t="inlineStr">
        <is>
          <t>[1] 단가·사용량 가정</t>
        </is>
      </c>
      <c r="B4" s="29" t="n"/>
      <c r="C4" s="29" t="n"/>
      <c r="D4" s="29" t="n"/>
      <c r="E4" s="29" t="n"/>
      <c r="F4" s="29" t="n"/>
      <c r="G4" s="29" t="n"/>
    </row>
    <row r="5" ht="15" customHeight="1" s="22">
      <c r="A5" s="30" t="inlineStr">
        <is>
          <t>LLM 캐시 프리픽스 토큰/건</t>
        </is>
      </c>
      <c r="B5" s="31" t="n">
        <v>2164</v>
      </c>
      <c r="C5" s="27" t="n"/>
      <c r="D5" s="27" t="n"/>
      <c r="E5" s="27" t="n"/>
      <c r="F5" s="27" t="n"/>
      <c r="G5" s="27" t="n"/>
    </row>
    <row r="6" ht="15" customHeight="1" s="22">
      <c r="A6" s="30" t="inlineStr">
        <is>
          <t>LLM 가변 입력 토큰/건</t>
        </is>
      </c>
      <c r="B6" s="31" t="n">
        <v>104</v>
      </c>
      <c r="C6" s="27" t="n"/>
      <c r="D6" s="27" t="n"/>
      <c r="E6" s="27" t="n"/>
      <c r="F6" s="27" t="n"/>
      <c r="G6" s="27" t="n"/>
    </row>
    <row r="7" ht="15" customHeight="1" s="22">
      <c r="A7" s="30" t="inlineStr">
        <is>
          <t>LLM 출력 토큰/건 (v1.1 잠정)</t>
        </is>
      </c>
      <c r="B7" s="31" t="n">
        <v>278</v>
      </c>
      <c r="C7" s="27" t="n"/>
      <c r="D7" s="27" t="n"/>
      <c r="E7" s="27" t="n"/>
      <c r="F7" s="27" t="n"/>
      <c r="G7" s="27" t="n"/>
    </row>
    <row r="8" ht="15" customHeight="1" s="22">
      <c r="A8" s="30" t="inlineStr">
        <is>
          <t>LLM 일반 입력 단가 ($/1M)</t>
        </is>
      </c>
      <c r="B8" s="32" t="n">
        <v>0.3</v>
      </c>
      <c r="C8" s="27" t="n"/>
      <c r="D8" s="27" t="n"/>
      <c r="E8" s="27" t="n"/>
      <c r="F8" s="27" t="n"/>
      <c r="G8" s="27" t="n"/>
    </row>
    <row r="9" ht="15" customHeight="1" s="22">
      <c r="A9" s="30" t="inlineStr">
        <is>
          <t>LLM 캐시 읽기 단가 ($/1M)</t>
        </is>
      </c>
      <c r="B9" s="32" t="n">
        <v>0.03</v>
      </c>
      <c r="C9" s="27" t="n"/>
      <c r="D9" s="27" t="n"/>
      <c r="E9" s="27" t="n"/>
      <c r="F9" s="27" t="n"/>
      <c r="G9" s="27" t="n"/>
    </row>
    <row r="10" ht="15" customHeight="1" s="22">
      <c r="A10" s="30" t="inlineStr">
        <is>
          <t>LLM 출력 단가 ($/1M)</t>
        </is>
      </c>
      <c r="B10" s="32" t="n">
        <v>2.5</v>
      </c>
      <c r="C10" s="27" t="n"/>
      <c r="D10" s="27" t="n"/>
      <c r="E10" s="27" t="n"/>
      <c r="F10" s="27" t="n"/>
      <c r="G10" s="27" t="n"/>
    </row>
    <row r="11" ht="15" customHeight="1" s="22">
      <c r="A11" s="33" t="inlineStr">
        <is>
          <t>컨텍스트 캐시 스토리지 단가 ($/1M tok·h)</t>
        </is>
      </c>
      <c r="B11" s="32" t="n">
        <v>1</v>
      </c>
      <c r="C11" s="27" t="n"/>
      <c r="D11" s="27" t="n"/>
      <c r="E11" s="27" t="n"/>
      <c r="F11" s="27" t="n"/>
      <c r="G11" s="27" t="n"/>
    </row>
    <row r="12" ht="15" customHeight="1" s="22">
      <c r="A12" s="30" t="inlineStr">
        <is>
          <t>TTS 신규합성 길이(초)/건</t>
        </is>
      </c>
      <c r="B12" s="31" t="n">
        <v>31</v>
      </c>
      <c r="C12" s="27" t="n"/>
      <c r="D12" s="27" t="n"/>
      <c r="E12" s="27" t="n"/>
      <c r="F12" s="27" t="n"/>
      <c r="G12" s="27" t="n"/>
    </row>
    <row r="13" ht="15" customHeight="1" s="22">
      <c r="A13" s="30" t="inlineStr">
        <is>
          <t>TTS 단가 ($/분)</t>
        </is>
      </c>
      <c r="B13" s="32" t="n">
        <v>0.015</v>
      </c>
      <c r="C13" s="27" t="n"/>
      <c r="D13" s="27" t="n"/>
      <c r="E13" s="27" t="n"/>
      <c r="F13" s="27" t="n"/>
      <c r="G13" s="27" t="n"/>
    </row>
    <row r="14" ht="15" customHeight="1" s="22">
      <c r="A14" s="33" t="inlineStr">
        <is>
          <t>인프라 $/건</t>
        </is>
      </c>
      <c r="B14" s="32" t="n">
        <v>0.0005</v>
      </c>
      <c r="C14" s="27" t="n"/>
      <c r="D14" s="27" t="n"/>
      <c r="E14" s="27" t="n"/>
      <c r="F14" s="27" t="n"/>
      <c r="G14" s="27" t="n"/>
    </row>
    <row r="15" ht="15" customHeight="1" s="22">
      <c r="A15" s="33" t="inlineStr">
        <is>
          <t>환율 (₩/$)</t>
        </is>
      </c>
      <c r="B15" s="31" t="n">
        <v>1380</v>
      </c>
      <c r="C15" s="27" t="n"/>
      <c r="D15" s="27" t="n"/>
      <c r="E15" s="27" t="n"/>
      <c r="F15" s="27" t="n"/>
      <c r="G15" s="27" t="n"/>
    </row>
    <row r="16" ht="15" customHeight="1" s="22">
      <c r="A16" s="33" t="inlineStr">
        <is>
          <t>캐시 가능 비율(참고)</t>
        </is>
      </c>
      <c r="B16" s="34" t="n">
        <v>0.45</v>
      </c>
      <c r="C16" s="27" t="n"/>
      <c r="D16" s="27" t="n"/>
      <c r="E16" s="27" t="n"/>
      <c r="F16" s="27" t="n"/>
      <c r="G16" s="27" t="n"/>
    </row>
    <row r="17" ht="15" customHeight="1" s="22">
      <c r="A17" s="27" t="n"/>
      <c r="B17" s="27" t="n"/>
      <c r="C17" s="27" t="n"/>
      <c r="D17" s="27" t="n"/>
      <c r="E17" s="27" t="n"/>
      <c r="F17" s="27" t="n"/>
      <c r="G17" s="27" t="n"/>
    </row>
    <row r="18" ht="15" customHeight="1" s="22">
      <c r="A18" s="28" t="inlineStr">
        <is>
          <t>[2] 건당 원가 (수식)</t>
        </is>
      </c>
      <c r="B18" s="29" t="n"/>
      <c r="C18" s="29" t="n"/>
      <c r="D18" s="29" t="n"/>
      <c r="E18" s="29" t="n"/>
      <c r="F18" s="29" t="n"/>
      <c r="G18" s="29" t="n"/>
    </row>
    <row r="19" ht="15" customHeight="1" s="22">
      <c r="A19" s="35" t="inlineStr">
        <is>
          <t>LLM 비용/건 (context cache ON)</t>
        </is>
      </c>
      <c r="B19" s="36">
        <f>B5/1000000*B9+B6/1000000*B8+B7/1000000*B10</f>
        <v/>
      </c>
      <c r="C19" s="27" t="n"/>
      <c r="D19" s="27" t="n"/>
      <c r="E19" s="27" t="n"/>
      <c r="F19" s="27" t="n"/>
      <c r="G19" s="27" t="n"/>
    </row>
    <row r="20" ht="15" customHeight="1" s="22">
      <c r="A20" s="35" t="inlineStr">
        <is>
          <t>TTS 비용/건 (miss)</t>
        </is>
      </c>
      <c r="B20" s="36">
        <f>B12/60*B13</f>
        <v/>
      </c>
      <c r="C20" s="27" t="n"/>
      <c r="D20" s="27" t="n"/>
      <c r="E20" s="27" t="n"/>
      <c r="F20" s="27" t="n"/>
      <c r="G20" s="27" t="n"/>
    </row>
    <row r="21" ht="15" customHeight="1" s="22">
      <c r="A21" s="35" t="inlineStr">
        <is>
          <t>cache MISS 원가/건</t>
        </is>
      </c>
      <c r="B21" s="36">
        <f>B19+B20+B14</f>
        <v/>
      </c>
      <c r="C21" s="27" t="n"/>
      <c r="D21" s="27" t="n"/>
      <c r="E21" s="27" t="n"/>
      <c r="F21" s="27" t="n"/>
      <c r="G21" s="27" t="n"/>
    </row>
    <row r="22" ht="15" customHeight="1" s="22">
      <c r="A22" s="35" t="inlineStr">
        <is>
          <t>cache HIT 원가/건</t>
        </is>
      </c>
      <c r="B22" s="36">
        <f>B14</f>
        <v/>
      </c>
      <c r="C22" s="27" t="n"/>
      <c r="D22" s="27" t="n"/>
      <c r="E22" s="27" t="n"/>
      <c r="F22" s="27" t="n"/>
      <c r="G22" s="27" t="n"/>
    </row>
    <row r="23" ht="15" customHeight="1" s="22">
      <c r="A23" s="26" t="inlineStr">
        <is>
          <t>컨텍스트 캐시 스토리지 $/일(참고)</t>
        </is>
      </c>
      <c r="B23" s="36">
        <f>B5/1000000*B11*24</f>
        <v/>
      </c>
      <c r="C23" s="27" t="n"/>
      <c r="D23" s="27" t="n"/>
      <c r="E23" s="27" t="n"/>
      <c r="F23" s="27" t="n"/>
      <c r="G23" s="27" t="n"/>
    </row>
    <row r="24" ht="15" customHeight="1" s="22">
      <c r="A24" s="27" t="n"/>
      <c r="B24" s="27" t="n"/>
      <c r="C24" s="27" t="n"/>
      <c r="D24" s="27" t="n"/>
      <c r="E24" s="27" t="n"/>
      <c r="F24" s="27" t="n"/>
      <c r="G24" s="27" t="n"/>
    </row>
    <row r="25" ht="15" customHeight="1" s="22">
      <c r="A25" s="28" t="inlineStr">
        <is>
          <t>[3] DAU 시나리오별 월 무료 변동비</t>
        </is>
      </c>
      <c r="B25" s="29" t="n"/>
      <c r="C25" s="29" t="n"/>
      <c r="D25" s="29" t="n"/>
      <c r="E25" s="29" t="n"/>
      <c r="F25" s="29" t="n"/>
      <c r="G25" s="29" t="n"/>
    </row>
    <row r="26" ht="15" customHeight="1" s="22">
      <c r="A26" s="37" t="inlineStr">
        <is>
          <t>시나리오</t>
        </is>
      </c>
      <c r="B26" s="37" t="inlineStr">
        <is>
          <t>캐시 히트율</t>
        </is>
      </c>
      <c r="C26" s="37" t="inlineStr">
        <is>
          <t>블렌디드 $/건</t>
        </is>
      </c>
      <c r="D26" s="38" t="inlineStr">
        <is>
          <t>1k DAU 월($)</t>
        </is>
      </c>
      <c r="E26" s="38" t="inlineStr">
        <is>
          <t>10k DAU 월($)</t>
        </is>
      </c>
      <c r="F26" s="38" t="inlineStr">
        <is>
          <t>50k DAU 월($)</t>
        </is>
      </c>
      <c r="G26" s="38" t="inlineStr">
        <is>
          <t>10k 월(₩)</t>
        </is>
      </c>
    </row>
    <row r="27" ht="15" customHeight="1" s="22">
      <c r="A27" s="33" t="inlineStr">
        <is>
          <t>베타 (캐시 30%)</t>
        </is>
      </c>
      <c r="B27" s="39" t="n">
        <v>0.3</v>
      </c>
      <c r="C27" s="36">
        <f>B27*$B$22+(1-B27)*$B$21</f>
        <v/>
      </c>
      <c r="D27" s="36">
        <f>C27*1000*30</f>
        <v/>
      </c>
      <c r="E27" s="36">
        <f>C27*10000*30</f>
        <v/>
      </c>
      <c r="F27" s="36">
        <f>C27*50000*30</f>
        <v/>
      </c>
      <c r="G27" s="36">
        <f>E27*$B$15</f>
        <v/>
      </c>
    </row>
    <row r="28" ht="15" customHeight="1" s="22">
      <c r="A28" s="33" t="inlineStr">
        <is>
          <t>정식 (캐시 60%)</t>
        </is>
      </c>
      <c r="B28" s="39" t="n">
        <v>0.6</v>
      </c>
      <c r="C28" s="36">
        <f>B28*$B$22+(1-B28)*$B$21</f>
        <v/>
      </c>
      <c r="D28" s="36">
        <f>C28*1000*30</f>
        <v/>
      </c>
      <c r="E28" s="36">
        <f>C28*10000*30</f>
        <v/>
      </c>
      <c r="F28" s="36">
        <f>C28*50000*30</f>
        <v/>
      </c>
      <c r="G28" s="36">
        <f>E28*$B$15</f>
        <v/>
      </c>
    </row>
    <row r="29" ht="15" customHeight="1" s="22">
      <c r="A29" s="27" t="n"/>
      <c r="B29" s="27" t="n"/>
      <c r="C29" s="27" t="n"/>
      <c r="D29" s="27" t="n"/>
      <c r="E29" s="27" t="n"/>
      <c r="F29" s="27" t="n"/>
      <c r="G29" s="27" t="n"/>
    </row>
    <row r="30" ht="15" customHeight="1" s="22">
      <c r="A30" s="28" t="inlineStr">
        <is>
          <t>[4] 매출·손익분기 가정</t>
        </is>
      </c>
      <c r="B30" s="29" t="n"/>
      <c r="C30" s="29" t="n"/>
      <c r="D30" s="29" t="n"/>
      <c r="E30" s="29" t="n"/>
      <c r="F30" s="29" t="n"/>
      <c r="G30" s="29" t="n"/>
    </row>
    <row r="31" ht="15" customHeight="1" s="22">
      <c r="A31" s="30" t="inlineStr">
        <is>
          <t>MAU / DAU 배수</t>
        </is>
      </c>
      <c r="B31" s="40" t="n">
        <v>3</v>
      </c>
      <c r="C31" s="27" t="n"/>
      <c r="D31" s="27" t="n"/>
      <c r="E31" s="27" t="n"/>
      <c r="F31" s="27" t="n"/>
      <c r="G31" s="27" t="n"/>
    </row>
    <row r="32" ht="15" customHeight="1" s="22">
      <c r="A32" s="33" t="inlineStr">
        <is>
          <t>유료 ARPU (₩/월)</t>
        </is>
      </c>
      <c r="B32" s="40" t="n">
        <v>3900</v>
      </c>
      <c r="C32" s="27" t="n"/>
      <c r="D32" s="27" t="n"/>
      <c r="E32" s="27" t="n"/>
      <c r="F32" s="27" t="n"/>
      <c r="G32" s="27" t="n"/>
    </row>
    <row r="33" ht="15" customHeight="1" s="22">
      <c r="A33" s="30" t="inlineStr">
        <is>
          <t>PG/스토어 수수료</t>
        </is>
      </c>
      <c r="B33" s="39" t="n">
        <v>0.1</v>
      </c>
      <c r="C33" s="27" t="n"/>
      <c r="D33" s="27" t="n"/>
      <c r="E33" s="27" t="n"/>
      <c r="F33" s="27" t="n"/>
      <c r="G33" s="27" t="n"/>
    </row>
    <row r="34" ht="15" customHeight="1" s="22">
      <c r="A34" s="26" t="inlineStr">
        <is>
          <t>유료 ARPU net ($)</t>
        </is>
      </c>
      <c r="B34" s="36">
        <f>B32*(1-B33)/B15</f>
        <v/>
      </c>
      <c r="C34" s="27" t="n"/>
      <c r="D34" s="27" t="n"/>
      <c r="E34" s="27" t="n"/>
      <c r="F34" s="27" t="n"/>
      <c r="G34" s="27" t="n"/>
    </row>
    <row r="35" ht="15" customHeight="1" s="22">
      <c r="A35" s="27" t="n"/>
      <c r="B35" s="27" t="n"/>
      <c r="C35" s="27" t="n"/>
      <c r="D35" s="27" t="n"/>
      <c r="E35" s="27" t="n"/>
      <c r="F35" s="27" t="n"/>
      <c r="G35" s="27" t="n"/>
    </row>
    <row r="36" ht="15" customHeight="1" s="22">
      <c r="A36" s="28" t="inlineStr">
        <is>
          <t>[5] 손익분기 전환율 (변동비 기준, 고정비 별도)</t>
        </is>
      </c>
      <c r="B36" s="29" t="n"/>
      <c r="C36" s="29" t="n"/>
      <c r="D36" s="29" t="n"/>
      <c r="E36" s="29" t="n"/>
      <c r="F36" s="29" t="n"/>
      <c r="G36" s="29" t="n"/>
    </row>
    <row r="37" ht="15" customHeight="1" s="22">
      <c r="A37" s="37" t="inlineStr">
        <is>
          <t>시나리오</t>
        </is>
      </c>
      <c r="B37" s="38" t="inlineStr">
        <is>
          <t>DAU</t>
        </is>
      </c>
      <c r="C37" s="38" t="inlineStr">
        <is>
          <t>MAU</t>
        </is>
      </c>
      <c r="D37" s="37" t="inlineStr">
        <is>
          <t>월 변동비($)</t>
        </is>
      </c>
      <c r="E37" s="38" t="inlineStr">
        <is>
          <t>BE 유료자수</t>
        </is>
      </c>
      <c r="F37" s="38" t="inlineStr">
        <is>
          <t>BE 전환율(%MAU)</t>
        </is>
      </c>
      <c r="G37" s="41" t="n"/>
    </row>
    <row r="38" ht="15" customHeight="1" s="22">
      <c r="A38" s="26" t="inlineStr">
        <is>
          <t>베타 30%</t>
        </is>
      </c>
      <c r="B38" s="35" t="n">
        <v>1000</v>
      </c>
      <c r="C38" s="35">
        <f>B38*$B$31</f>
        <v/>
      </c>
      <c r="D38" s="36">
        <f>C27*B38*30</f>
        <v/>
      </c>
      <c r="E38" s="36">
        <f>D38/$B$34</f>
        <v/>
      </c>
      <c r="F38" s="42">
        <f>E38/C38</f>
        <v/>
      </c>
      <c r="G38" s="27" t="n"/>
    </row>
    <row r="39" ht="15" customHeight="1" s="22">
      <c r="A39" s="26" t="inlineStr">
        <is>
          <t>베타 30%</t>
        </is>
      </c>
      <c r="B39" s="35" t="n">
        <v>10000</v>
      </c>
      <c r="C39" s="35">
        <f>B39*$B$31</f>
        <v/>
      </c>
      <c r="D39" s="36">
        <f>C27*B39*30</f>
        <v/>
      </c>
      <c r="E39" s="36">
        <f>D39/$B$34</f>
        <v/>
      </c>
      <c r="F39" s="42">
        <f>E39/C39</f>
        <v/>
      </c>
      <c r="G39" s="27" t="n"/>
    </row>
    <row r="40" ht="15" customHeight="1" s="22">
      <c r="A40" s="26" t="inlineStr">
        <is>
          <t>베타 30%</t>
        </is>
      </c>
      <c r="B40" s="35" t="n">
        <v>50000</v>
      </c>
      <c r="C40" s="35">
        <f>B40*$B$31</f>
        <v/>
      </c>
      <c r="D40" s="36">
        <f>C27*B40*30</f>
        <v/>
      </c>
      <c r="E40" s="36">
        <f>D40/$B$34</f>
        <v/>
      </c>
      <c r="F40" s="42">
        <f>E40/C40</f>
        <v/>
      </c>
      <c r="G40" s="27" t="n"/>
    </row>
    <row r="41" ht="15" customHeight="1" s="22">
      <c r="A41" s="26" t="inlineStr">
        <is>
          <t>정식 60%</t>
        </is>
      </c>
      <c r="B41" s="35" t="n">
        <v>1000</v>
      </c>
      <c r="C41" s="35">
        <f>B41*$B$31</f>
        <v/>
      </c>
      <c r="D41" s="36">
        <f>C28*B41*30</f>
        <v/>
      </c>
      <c r="E41" s="36">
        <f>D41/$B$34</f>
        <v/>
      </c>
      <c r="F41" s="42">
        <f>E41/C41</f>
        <v/>
      </c>
      <c r="G41" s="27" t="n"/>
    </row>
    <row r="42" ht="15" customHeight="1" s="22">
      <c r="A42" s="26" t="inlineStr">
        <is>
          <t>정식 60%</t>
        </is>
      </c>
      <c r="B42" s="35" t="n">
        <v>10000</v>
      </c>
      <c r="C42" s="35">
        <f>B42*$B$31</f>
        <v/>
      </c>
      <c r="D42" s="36">
        <f>C28*B42*30</f>
        <v/>
      </c>
      <c r="E42" s="36">
        <f>D42/$B$34</f>
        <v/>
      </c>
      <c r="F42" s="42">
        <f>E42/C42</f>
        <v/>
      </c>
      <c r="G42" s="27" t="n"/>
    </row>
    <row r="43" ht="15" customHeight="1" s="22">
      <c r="A43" s="26" t="inlineStr">
        <is>
          <t>정식 60%</t>
        </is>
      </c>
      <c r="B43" s="35" t="n">
        <v>50000</v>
      </c>
      <c r="C43" s="35">
        <f>B43*$B$31</f>
        <v/>
      </c>
      <c r="D43" s="36">
        <f>C28*B43*30</f>
        <v/>
      </c>
      <c r="E43" s="36">
        <f>D43/$B$34</f>
        <v/>
      </c>
      <c r="F43" s="42">
        <f>E43/C43</f>
        <v/>
      </c>
      <c r="G43" s="27" t="n"/>
    </row>
    <row r="44" ht="15" customHeight="1" s="22">
      <c r="A44" s="27" t="n"/>
      <c r="B44" s="27" t="n"/>
      <c r="C44" s="27" t="n"/>
      <c r="D44" s="27" t="n"/>
      <c r="E44" s="27" t="n"/>
      <c r="F44" s="27" t="n"/>
      <c r="G44" s="27" t="n"/>
    </row>
    <row r="45" ht="27.75" customHeight="1" s="22">
      <c r="A45" s="28" t="inlineStr">
        <is>
          <t>[6] 참고: 전면 서버 조립(미채택) / v1.1은 scores_line 중간안</t>
        </is>
      </c>
      <c r="B45" s="29" t="n"/>
      <c r="C45" s="29" t="n"/>
      <c r="D45" s="29" t="n"/>
      <c r="E45" s="29" t="n"/>
      <c r="F45" s="29" t="n"/>
      <c r="G45" s="29" t="n"/>
    </row>
    <row r="46" ht="15" customHeight="1" s="22">
      <c r="A46" s="33" t="inlineStr">
        <is>
          <t>미채택 후보 캐시 프리픽스 토큰/건</t>
        </is>
      </c>
      <c r="B46" s="31" t="n">
        <v>1233</v>
      </c>
      <c r="C46" s="27" t="n"/>
      <c r="D46" s="27" t="n"/>
      <c r="E46" s="27" t="n"/>
      <c r="F46" s="27" t="n"/>
      <c r="G46" s="27" t="n"/>
    </row>
    <row r="47" ht="15" customHeight="1" s="22">
      <c r="A47" s="33" t="inlineStr">
        <is>
          <t>미채택 후보 출력 토큰/건(narration 제거, scores_line 없음)</t>
        </is>
      </c>
      <c r="B47" s="31" t="n">
        <v>239</v>
      </c>
      <c r="C47" s="27" t="n"/>
      <c r="D47" s="27" t="n"/>
      <c r="E47" s="27" t="n"/>
      <c r="F47" s="27" t="n"/>
      <c r="G47" s="27" t="n"/>
    </row>
    <row r="48" ht="15" customHeight="1" s="22">
      <c r="A48" s="26" t="inlineStr">
        <is>
          <t>미채택 후보 LLM 비용/건</t>
        </is>
      </c>
      <c r="B48" s="36">
        <f>B46/1000000*B9+B6/1000000*B8+B47/1000000*B10</f>
        <v/>
      </c>
      <c r="C48" s="27" t="n"/>
      <c r="D48" s="27" t="n"/>
      <c r="E48" s="27" t="n"/>
      <c r="F48" s="27" t="n"/>
      <c r="G48" s="27" t="n"/>
    </row>
    <row r="49" ht="15" customHeight="1" s="22">
      <c r="A49" s="26" t="inlineStr">
        <is>
          <t>미채택 후보 cache MISS 원가/건</t>
        </is>
      </c>
      <c r="B49" s="36">
        <f>B48+B20+B14</f>
        <v/>
      </c>
      <c r="C49" s="27" t="n"/>
      <c r="D49" s="27" t="n"/>
      <c r="E49" s="27" t="n"/>
      <c r="F49" s="27" t="n"/>
      <c r="G49" s="27" t="n"/>
    </row>
    <row r="50" ht="68.25" customHeight="1" s="22">
      <c r="A50" s="26" t="inlineStr">
        <is>
          <t>참고 설명</t>
        </is>
      </c>
      <c r="B50" s="26" t="inlineStr">
        <is>
          <t>청취 QA 결과 전면 템플릿 조립은 미채택. 실제 v1.1은 scores_line 중간안이며, fortune-schema.v1.1 기준 Gemini count_tokens 재측정 후 별도 갱신한다.</t>
        </is>
      </c>
      <c r="C50" s="27" t="n"/>
      <c r="D50" s="27" t="n"/>
      <c r="E50" s="27" t="n"/>
      <c r="F50" s="27" t="n"/>
      <c r="G50" s="27" t="n"/>
    </row>
    <row r="51" ht="15" customHeight="1" s="22">
      <c r="A51" s="27" t="n"/>
      <c r="B51" s="27" t="n"/>
      <c r="C51" s="27" t="n"/>
      <c r="D51" s="27" t="n"/>
      <c r="E51" s="27" t="n"/>
      <c r="F51" s="27" t="n"/>
      <c r="G51" s="27" t="n"/>
    </row>
    <row r="52" ht="41.25" customHeight="1" s="22">
      <c r="A52" s="26" t="inlineStr">
        <is>
          <t>주의: 단가는 모두 공개가 기반 추정치. 0단계에서 Gemini 공식 count_tokens·실제 provider 청구서로 재확인 필요.</t>
        </is>
      </c>
      <c r="B52" s="27" t="n"/>
      <c r="C52" s="27" t="n"/>
      <c r="D52" s="27" t="n"/>
      <c r="E52" s="27" t="n"/>
      <c r="F52" s="27" t="n"/>
      <c r="G52" s="27" t="n"/>
    </row>
    <row r="53" ht="27.75" customHeight="1" s="22">
      <c r="A53" s="43" t="inlineStr">
        <is>
          <t>TTS 신규합성 길이는 tts-ab-results-report v1의 A baseline(personalized+semi 세그먼트 합) 평균 31초를 사용했다.</t>
        </is>
      </c>
      <c r="B53" s="27" t="n"/>
      <c r="C53" s="27" t="n"/>
      <c r="D53" s="27" t="n"/>
      <c r="E53" s="27" t="n"/>
      <c r="F53" s="27" t="n"/>
      <c r="G53" s="27" t="n"/>
    </row>
    <row r="54" ht="27.75" customHeight="1" s="22">
      <c r="A54" s="26" t="inlineStr">
        <is>
          <t>고정 운영비(서버 baseline·분석툴·인건비)는 미포함 — break-even은 변동비 기준. baseline은 이미 v1.1 scores_line(출력 278tok, o200k 프록시 잠정)을 반영함. Gemini 공식 count_tokens 재측정만 TBD. (2026-05-29 주석 정정)</t>
        </is>
      </c>
      <c r="B54" s="27" t="n"/>
      <c r="C54" s="27" t="n"/>
      <c r="D54" s="27" t="n"/>
      <c r="E54" s="27" t="n"/>
      <c r="F54" s="27" t="n"/>
      <c r="G54" s="27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2026-05-22T06:29:12Z</dcterms:created>
  <dcterms:modified xmlns:dcterms="http://purl.org/dc/terms/" xmlns:xsi="http://www.w3.org/2001/XMLSchema-instance" xsi:type="dcterms:W3CDTF">2026-05-29T01:59:07Z</dcterms:modified>
  <cp:revision>0</cp:revision>
</cp:coreProperties>
</file>